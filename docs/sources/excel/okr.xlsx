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\BenjaminKobjolke\quantify-your-life\data\"/>
    </mc:Choice>
  </mc:AlternateContent>
  <xr:revisionPtr revIDLastSave="0" documentId="13_ncr:1_{51F6362D-94F5-4AD2-BF0A-4446A9CB4215}" xr6:coauthVersionLast="47" xr6:coauthVersionMax="47" xr10:uidLastSave="{00000000-0000-0000-0000-000000000000}"/>
  <bookViews>
    <workbookView xWindow="135" yWindow="240" windowWidth="28575" windowHeight="31305" activeTab="1" xr2:uid="{9EE8D48F-5D06-4268-8090-C262ABBB2D16}"/>
  </bookViews>
  <sheets>
    <sheet name="Übersicht" sheetId="1" r:id="rId1"/>
    <sheet name="aktuelle KR NR" sheetId="7" r:id="rId2"/>
    <sheet name="aktuelle KR TMT" sheetId="8" r:id="rId3"/>
    <sheet name="KRQ4-25" sheetId="3" r:id="rId4"/>
    <sheet name="Kontakte" sheetId="5" r:id="rId5"/>
    <sheet name="Texte" sheetId="6" r:id="rId6"/>
  </sheets>
  <definedNames>
    <definedName name="_xlnm._FilterDatabase" localSheetId="4" hidden="1">Kontakte!$A$1:$M$1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7" l="1"/>
  <c r="D6" i="7"/>
  <c r="D7" i="7"/>
  <c r="D8" i="7"/>
  <c r="D9" i="7"/>
  <c r="D4" i="7"/>
  <c r="H8" i="8"/>
  <c r="F8" i="8"/>
  <c r="D8" i="8"/>
  <c r="H7" i="8"/>
  <c r="F7" i="8"/>
  <c r="D7" i="8"/>
  <c r="H6" i="8"/>
  <c r="F6" i="8"/>
  <c r="D6" i="8"/>
  <c r="H5" i="8"/>
  <c r="F5" i="8"/>
  <c r="D5" i="8"/>
  <c r="H4" i="8"/>
  <c r="F4" i="8"/>
  <c r="D4" i="8"/>
  <c r="H3" i="8"/>
  <c r="F3" i="8"/>
  <c r="D3" i="8"/>
  <c r="H2" i="8"/>
  <c r="F2" i="8"/>
  <c r="D2" i="8"/>
  <c r="F8" i="7"/>
  <c r="H9" i="7"/>
  <c r="F9" i="7"/>
  <c r="H8" i="7"/>
  <c r="H7" i="7"/>
  <c r="F7" i="7"/>
  <c r="H6" i="7"/>
  <c r="F6" i="7"/>
  <c r="H5" i="7"/>
  <c r="F5" i="7"/>
  <c r="H4" i="7"/>
  <c r="F4" i="7"/>
  <c r="I14" i="3"/>
  <c r="I15" i="3"/>
  <c r="I16" i="3"/>
  <c r="G16" i="3"/>
  <c r="E16" i="3"/>
  <c r="C16" i="3"/>
  <c r="G14" i="3"/>
  <c r="G15" i="3"/>
  <c r="E14" i="3"/>
  <c r="E15" i="3"/>
  <c r="C14" i="3"/>
  <c r="C15" i="3"/>
  <c r="E3" i="3"/>
  <c r="E4" i="3"/>
  <c r="E5" i="3"/>
  <c r="E6" i="3"/>
  <c r="E7" i="3"/>
  <c r="E8" i="3"/>
  <c r="E9" i="3"/>
  <c r="E10" i="3"/>
  <c r="E11" i="3"/>
  <c r="E12" i="3"/>
  <c r="E13" i="3"/>
  <c r="E2" i="3"/>
  <c r="I12" i="3"/>
  <c r="I13" i="3"/>
  <c r="G13" i="3"/>
  <c r="C12" i="3"/>
  <c r="C13" i="3"/>
  <c r="G12" i="3"/>
  <c r="G3" i="3"/>
  <c r="G4" i="3"/>
  <c r="G5" i="3"/>
  <c r="G6" i="3"/>
  <c r="G7" i="3"/>
  <c r="G8" i="3"/>
  <c r="G9" i="3"/>
  <c r="G10" i="3"/>
  <c r="G11" i="3"/>
  <c r="G2" i="3"/>
  <c r="C3" i="3"/>
  <c r="C4" i="3"/>
  <c r="C5" i="3"/>
  <c r="C6" i="3"/>
  <c r="C7" i="3"/>
  <c r="C8" i="3"/>
  <c r="C9" i="3"/>
  <c r="C10" i="3"/>
  <c r="C11" i="3"/>
  <c r="C2" i="3"/>
  <c r="I8" i="3"/>
  <c r="I9" i="3"/>
  <c r="I10" i="3"/>
  <c r="I11" i="3"/>
  <c r="I2" i="3"/>
  <c r="I4" i="3"/>
  <c r="I5" i="3"/>
  <c r="I6" i="3"/>
  <c r="I7" i="3"/>
  <c r="I3" i="3"/>
  <c r="P4" i="1"/>
  <c r="L4" i="1" s="1"/>
  <c r="P3" i="1"/>
  <c r="L3" i="1" s="1"/>
  <c r="P2" i="1"/>
  <c r="L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Tobias</author>
  </authors>
  <commentList>
    <comment ref="H8" authorId="0" shapeId="0" xr:uid="{B3CD3CFA-A25F-4DCD-89BD-AD5FD780BC56}">
      <text>
        <r>
          <rPr>
            <b/>
            <sz val="9"/>
            <color indexed="81"/>
            <rFont val="Segoe UI"/>
            <family val="2"/>
          </rPr>
          <t>Tobias:</t>
        </r>
        <r>
          <rPr>
            <sz val="9"/>
            <color indexed="81"/>
            <rFont val="Segoe UI"/>
            <family val="2"/>
          </rPr>
          <t xml:space="preserve">
349 Impressionen und 2 Klicks auf "Schnell und einfach…"</t>
        </r>
      </text>
    </comment>
  </commentList>
</comments>
</file>

<file path=xl/sharedStrings.xml><?xml version="1.0" encoding="utf-8"?>
<sst xmlns="http://schemas.openxmlformats.org/spreadsheetml/2006/main" count="229" uniqueCount="149">
  <si>
    <t>Objective ID</t>
  </si>
  <si>
    <t>Objective Description</t>
  </si>
  <si>
    <t>Objective Owner</t>
  </si>
  <si>
    <t>Priority</t>
  </si>
  <si>
    <t>Quarter</t>
  </si>
  <si>
    <t>Key Result ID</t>
  </si>
  <si>
    <t>Key Result Description</t>
  </si>
  <si>
    <t>KR Owner</t>
  </si>
  <si>
    <t>Target Value</t>
  </si>
  <si>
    <t>Current Value</t>
  </si>
  <si>
    <t>Start Value</t>
  </si>
  <si>
    <t>Progress %</t>
  </si>
  <si>
    <t>Status</t>
  </si>
  <si>
    <t>Start Date</t>
  </si>
  <si>
    <t>Due Date</t>
  </si>
  <si>
    <t>Comments</t>
  </si>
  <si>
    <t>O1</t>
  </si>
  <si>
    <t>Mehr aktive ax-Kunden</t>
  </si>
  <si>
    <t>Team</t>
  </si>
  <si>
    <t>N/A</t>
  </si>
  <si>
    <t>Q4 2025</t>
  </si>
  <si>
    <t>KR1.1</t>
  </si>
  <si>
    <t>Anzahl kontaktierter Altkunden</t>
  </si>
  <si>
    <t>TBD</t>
  </si>
  <si>
    <t>KR1.2</t>
  </si>
  <si>
    <t xml:space="preserve">Anzahl kontaktierter neuer Leads </t>
  </si>
  <si>
    <t>KR1.3</t>
  </si>
  <si>
    <t>Datum</t>
  </si>
  <si>
    <t>KR1.1 %</t>
  </si>
  <si>
    <t>KR1.2 %</t>
  </si>
  <si>
    <t>KR1.3 %</t>
  </si>
  <si>
    <t>Startwert</t>
  </si>
  <si>
    <t>wöchentl. Besucher auf den ax-Websites</t>
  </si>
  <si>
    <t>KR1.1 Kontaktierte Altkunden
(20)</t>
  </si>
  <si>
    <t>Art</t>
  </si>
  <si>
    <t>LinkedIn</t>
  </si>
  <si>
    <t>CC</t>
  </si>
  <si>
    <t>Tobias</t>
  </si>
  <si>
    <t>alte E-Mails</t>
  </si>
  <si>
    <t>Link</t>
  </si>
  <si>
    <t>Brand &amp; Retail Executive</t>
  </si>
  <si>
    <t>Damen-bekleidung</t>
  </si>
  <si>
    <t>AERON</t>
  </si>
  <si>
    <t>adidas Ungarn</t>
  </si>
  <si>
    <t>Andrea</t>
  </si>
  <si>
    <t xml:space="preserve">Rátonyi </t>
  </si>
  <si>
    <t>Project Manager Retail &amp; Franchise</t>
  </si>
  <si>
    <t>adidas</t>
  </si>
  <si>
    <t>cip</t>
  </si>
  <si>
    <t>Nico</t>
  </si>
  <si>
    <t>Schulze</t>
  </si>
  <si>
    <t>alte E-Mails vor Gmail</t>
  </si>
  <si>
    <t>nicht gefunden</t>
  </si>
  <si>
    <t>reebok/adidas</t>
  </si>
  <si>
    <t>Annika</t>
  </si>
  <si>
    <t>Götz</t>
  </si>
  <si>
    <t>Leiterin Marketing, Unternehmenskommunikation und Business Development Global</t>
  </si>
  <si>
    <t>Rödl &amp; Partner</t>
  </si>
  <si>
    <t>Birgit</t>
  </si>
  <si>
    <t>Stelling-Schönlein</t>
  </si>
  <si>
    <t>Leiterin Kommunikation &amp; Organisation</t>
  </si>
  <si>
    <t>NaturEnergy</t>
  </si>
  <si>
    <t>Antonia</t>
  </si>
  <si>
    <t>Grim</t>
  </si>
  <si>
    <t>2013?</t>
  </si>
  <si>
    <t>nicht eindeutig</t>
  </si>
  <si>
    <t>Clemens</t>
  </si>
  <si>
    <t>Buchna</t>
  </si>
  <si>
    <t>ax E-Mail-Archiv</t>
  </si>
  <si>
    <t>Manager WHS Activation Football Specialists</t>
  </si>
  <si>
    <t>Frey</t>
  </si>
  <si>
    <t>Patrick</t>
  </si>
  <si>
    <t>Benni &amp; Tobias</t>
  </si>
  <si>
    <t>Manager Digital Marketing Partner Activation</t>
  </si>
  <si>
    <t>Winter</t>
  </si>
  <si>
    <t>Patric</t>
  </si>
  <si>
    <t>Benni</t>
  </si>
  <si>
    <t>aktuelle E-Mails</t>
  </si>
  <si>
    <t>Head of Marketing, Kids &amp; Teens</t>
  </si>
  <si>
    <t>hama</t>
  </si>
  <si>
    <t>Heckel</t>
  </si>
  <si>
    <t>Georg</t>
  </si>
  <si>
    <t>Letzter Kontakt mit</t>
  </si>
  <si>
    <t>Letzter Kontakt</t>
  </si>
  <si>
    <t>Quelle</t>
  </si>
  <si>
    <t>Position heute</t>
  </si>
  <si>
    <t>Branche</t>
  </si>
  <si>
    <t>Firma heute</t>
  </si>
  <si>
    <t>Nachname</t>
  </si>
  <si>
    <t>Vorname</t>
  </si>
  <si>
    <t>Kanal</t>
  </si>
  <si>
    <t>Kontaktiert</t>
  </si>
  <si>
    <t>Hinze</t>
  </si>
  <si>
    <t>Anna</t>
  </si>
  <si>
    <t>-</t>
  </si>
  <si>
    <t>Firma früher</t>
  </si>
  <si>
    <t>Hundetraining</t>
  </si>
  <si>
    <t>BU Football</t>
  </si>
  <si>
    <t>Arnezeder</t>
  </si>
  <si>
    <t>Melissa</t>
  </si>
  <si>
    <t>Bechtel</t>
  </si>
  <si>
    <t>Michaela</t>
  </si>
  <si>
    <t>Redcare Pharmacy</t>
  </si>
  <si>
    <t>Product Owner</t>
  </si>
  <si>
    <t>Gesundheitswesen</t>
  </si>
  <si>
    <t>Senior UX/UI Designer</t>
  </si>
  <si>
    <t>Bechtold</t>
  </si>
  <si>
    <t>Franziska</t>
  </si>
  <si>
    <t>Selbstständig</t>
  </si>
  <si>
    <t>LinkedIn Nachricht an best. Kontakt</t>
  </si>
  <si>
    <t>Wir hatten früher über &lt;&gt; miteinander zu tun.
Ich hoffe, Du erinnerst Dich positiv an appcentrics!
Hast Du Lust, dass ich Dir mal zeige, was wir inzwischen alles an Aktivierungsmöglichkeiten haben?</t>
  </si>
  <si>
    <t>LinkedIn Nachricht mit Kontakteinladung</t>
  </si>
  <si>
    <t>Hi! 
Wir hatten früher öfter miteinander zu tun - ich hoffe, Du erinnerst Dich positiv an appcentrics!
Hast Du Interesse, zu erfahren, was wir inzwischen an Aktivierungsmöglichkeiten haben?</t>
  </si>
  <si>
    <t>Steinmetz</t>
  </si>
  <si>
    <t>Bernhard</t>
  </si>
  <si>
    <t>Director Brand Communication Outdoor</t>
  </si>
  <si>
    <t>bike and climb athlete manager</t>
  </si>
  <si>
    <t>Bloss</t>
  </si>
  <si>
    <t>David</t>
  </si>
  <si>
    <t>FiveTen</t>
  </si>
  <si>
    <t>Marketing &amp; eCom Generalist</t>
  </si>
  <si>
    <t>Bösche</t>
  </si>
  <si>
    <t>Janosch</t>
  </si>
  <si>
    <t>Marketing &amp; Strategy</t>
  </si>
  <si>
    <t>Vedes</t>
  </si>
  <si>
    <t>Anke</t>
  </si>
  <si>
    <t>Gaab ehem. Breitinger</t>
  </si>
  <si>
    <t>KR1.3 Wert Kontaktierte Neue Leads
(20)</t>
  </si>
  <si>
    <t>KR1.4 Wert ax Website Besucher</t>
  </si>
  <si>
    <t>KR1.2
Reaktionen auf Anschreiben
(20)</t>
  </si>
  <si>
    <t>Hi,
wir hatten früher ab und an miteinander zu tun, als Du noch bei &lt;&gt; warst. Ich hoffe, Du erinnerst Dich positiv an appcentrics!
Wir machen gerade eine Vorweihnachtsaktion mit unseren Marketing-Apps - hast Du Interesse, dass ich Dir mal zeige, was wir inzwischen alles an Aktivierungsmöglichkeiten online und am POS haben?
Liebe Grüße
Tobias</t>
  </si>
  <si>
    <t>Altkontakt ax</t>
  </si>
  <si>
    <t>Lead TMZ</t>
  </si>
  <si>
    <t>KR1 %</t>
  </si>
  <si>
    <t>KR2
kontaktierte Leads
(10)</t>
  </si>
  <si>
    <t>KR2 %</t>
  </si>
  <si>
    <t>KR3 Kontaktierte Alkunden
(20)</t>
  </si>
  <si>
    <t>KR1 Klicks/w bei Google (Q4: 23)</t>
  </si>
  <si>
    <t>KW</t>
  </si>
  <si>
    <t>4</t>
  </si>
  <si>
    <t>3</t>
  </si>
  <si>
    <t>2</t>
  </si>
  <si>
    <t>1</t>
  </si>
  <si>
    <t>6</t>
  </si>
  <si>
    <t>Ziele</t>
  </si>
  <si>
    <t>KR3 Kontaktierte Alkunden</t>
  </si>
  <si>
    <t>KR2
kontaktierte Leads</t>
  </si>
  <si>
    <t>KR1 Klicks/w bei Google (Ziel Q4: 23)</t>
  </si>
  <si>
    <t>Zieldatum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</si>
</sst>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mbria"/>
      <family val="1"/>
    </font>
    <font>
      <b/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5266"/>
        <bgColor rgb="FF36609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6" fillId="0" borderId="1" xfId="2" applyBorder="1" applyAlignment="1">
      <alignment horizontal="center" vertical="top"/>
    </xf>
    <xf numFmtId="0" fontId="6" fillId="0" borderId="1" xfId="2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17" fontId="0" fillId="0" borderId="1" xfId="0" applyNumberFormat="1" applyBorder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164" fontId="0" fillId="0" borderId="0" xfId="1" applyNumberFormat="1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right"/>
    </xf>
    <xf numFmtId="14" fontId="0" fillId="4" borderId="0" xfId="0" applyNumberFormat="1" applyFill="1" applyAlignment="1">
      <alignment horizontal="right"/>
    </xf>
    <xf numFmtId="14" fontId="0" fillId="4" borderId="0" xfId="0" applyNumberFormat="1" applyFill="1"/>
    <xf numFmtId="49" fontId="3" fillId="4" borderId="0" xfId="0" applyNumberFormat="1" applyFont="1" applyFill="1" applyAlignment="1">
      <alignment horizontal="center" vertical="center"/>
    </xf>
    <xf numFmtId="49" fontId="0" fillId="4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wrapText="1"/>
    </xf>
    <xf numFmtId="164" fontId="0" fillId="5" borderId="0" xfId="1" applyNumberFormat="1" applyFont="1" applyFill="1" applyAlignment="1">
      <alignment horizontal="center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center" vertical="center"/>
    </xf>
  </cellXfs>
  <cellStyles count="3">
    <cellStyle name="Link" xfId="2" builtinId="8"/>
    <cellStyle name="Prozent" xfId="1" builtinId="5"/>
    <cellStyle name="Standard" xfId="0" builtinId="0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051886611816618E-2"/>
          <c:y val="3.259259259259259E-2"/>
          <c:w val="0.93317299141882759"/>
          <c:h val="0.80950154564012833"/>
        </c:manualLayout>
      </c:layout>
      <c:lineChart>
        <c:grouping val="standard"/>
        <c:varyColors val="0"/>
        <c:ser>
          <c:idx val="0"/>
          <c:order val="0"/>
          <c:tx>
            <c:strRef>
              <c:f>'KRQ4-25'!$H$1</c:f>
              <c:strCache>
                <c:ptCount val="1"/>
                <c:pt idx="0">
                  <c:v>KR1.4 Wert ax Website Besucher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'KRQ4-25'!$A$3:$A$15</c:f>
              <c:numCache>
                <c:formatCode>m/d/yyyy</c:formatCode>
                <c:ptCount val="13"/>
                <c:pt idx="0">
                  <c:v>45942</c:v>
                </c:pt>
                <c:pt idx="1">
                  <c:v>45949</c:v>
                </c:pt>
                <c:pt idx="2">
                  <c:v>45956</c:v>
                </c:pt>
                <c:pt idx="3">
                  <c:v>45963</c:v>
                </c:pt>
                <c:pt idx="4">
                  <c:v>45970</c:v>
                </c:pt>
                <c:pt idx="5">
                  <c:v>45977</c:v>
                </c:pt>
                <c:pt idx="6">
                  <c:v>45984</c:v>
                </c:pt>
                <c:pt idx="7">
                  <c:v>45991</c:v>
                </c:pt>
                <c:pt idx="8">
                  <c:v>45998</c:v>
                </c:pt>
                <c:pt idx="9">
                  <c:v>46005</c:v>
                </c:pt>
                <c:pt idx="10">
                  <c:v>46012</c:v>
                </c:pt>
                <c:pt idx="11">
                  <c:v>46019</c:v>
                </c:pt>
                <c:pt idx="12">
                  <c:v>46026</c:v>
                </c:pt>
              </c:numCache>
            </c:numRef>
          </c:cat>
          <c:val>
            <c:numRef>
              <c:f>'KRQ4-25'!$I$3:$I$15</c:f>
              <c:numCache>
                <c:formatCode>0.0%</c:formatCode>
                <c:ptCount val="13"/>
                <c:pt idx="0">
                  <c:v>2.4E-2</c:v>
                </c:pt>
                <c:pt idx="1">
                  <c:v>4.0000000000000001E-3</c:v>
                </c:pt>
                <c:pt idx="2">
                  <c:v>0.01</c:v>
                </c:pt>
                <c:pt idx="3">
                  <c:v>0.03</c:v>
                </c:pt>
                <c:pt idx="4">
                  <c:v>0.04</c:v>
                </c:pt>
                <c:pt idx="5">
                  <c:v>0.13200000000000001</c:v>
                </c:pt>
                <c:pt idx="6">
                  <c:v>7.0000000000000007E-2</c:v>
                </c:pt>
                <c:pt idx="7">
                  <c:v>4.8000000000000001E-2</c:v>
                </c:pt>
                <c:pt idx="8">
                  <c:v>7.3999999999999996E-2</c:v>
                </c:pt>
                <c:pt idx="9">
                  <c:v>5.6000000000000001E-2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D-4664-A94E-572AABDDB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300144"/>
        <c:axId val="1014299664"/>
      </c:lineChart>
      <c:dateAx>
        <c:axId val="101430014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14299664"/>
        <c:crosses val="autoZero"/>
        <c:auto val="1"/>
        <c:lblOffset val="100"/>
        <c:baseTimeUnit val="days"/>
        <c:majorUnit val="7"/>
        <c:majorTimeUnit val="days"/>
      </c:dateAx>
      <c:valAx>
        <c:axId val="1014299664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1430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284183578824428"/>
          <c:y val="7.3703353747448241E-2"/>
          <c:w val="0.47616217244064796"/>
          <c:h val="0.197778477690288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400049</xdr:colOff>
      <xdr:row>8</xdr:row>
      <xdr:rowOff>133350</xdr:rowOff>
    </xdr:from>
    <xdr:to>
      <xdr:col>9</xdr:col>
      <xdr:colOff>285750</xdr:colOff>
      <xdr:row>31</xdr:row>
      <xdr:rowOff>38100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9B658C6-D440-837F-26DC-227995F3A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eron.com/" TargetMode="External"/><Relationship Id="rId13" Type="http://schemas.openxmlformats.org/officeDocument/2006/relationships/hyperlink" Target="https://www.linkedin.com/in/janoschboesche/" TargetMode="External"/><Relationship Id="rId3" Type="http://schemas.openxmlformats.org/officeDocument/2006/relationships/hyperlink" Target="https://www.linkedin.com/in/nico-schulze1204/" TargetMode="External"/><Relationship Id="rId7" Type="http://schemas.openxmlformats.org/officeDocument/2006/relationships/hyperlink" Target="https://www.linkedin.com/in/ratonyiandrea/" TargetMode="External"/><Relationship Id="rId12" Type="http://schemas.openxmlformats.org/officeDocument/2006/relationships/hyperlink" Target="https://www.linkedin.com/in/david-blo%C3%9F-006875111/" TargetMode="External"/><Relationship Id="rId2" Type="http://schemas.openxmlformats.org/officeDocument/2006/relationships/hyperlink" Target="https://www.linkedin.com/in/patrick-frey-780889167/" TargetMode="External"/><Relationship Id="rId1" Type="http://schemas.openxmlformats.org/officeDocument/2006/relationships/hyperlink" Target="https://www.linkedin.com/in/mscpatricwinter/" TargetMode="External"/><Relationship Id="rId6" Type="http://schemas.openxmlformats.org/officeDocument/2006/relationships/hyperlink" Target="https://www.linkedin.com/company/455531/?lipi=urn%3Ali%3Apage%3Ad_flagship3_profile_view_base%3BYJO9apVmRZ6EC35yMhAGiQ%3D%3D" TargetMode="External"/><Relationship Id="rId11" Type="http://schemas.openxmlformats.org/officeDocument/2006/relationships/hyperlink" Target="https://www.linkedin.com/in/bernhard-steinmetz-ab6aa591/" TargetMode="External"/><Relationship Id="rId5" Type="http://schemas.openxmlformats.org/officeDocument/2006/relationships/hyperlink" Target="https://www.linkedin.com/in/antonia-grim-875bbb139/" TargetMode="External"/><Relationship Id="rId15" Type="http://schemas.openxmlformats.org/officeDocument/2006/relationships/printerSettings" Target="../printerSettings/printerSettings4.bin"/><Relationship Id="rId10" Type="http://schemas.openxmlformats.org/officeDocument/2006/relationships/hyperlink" Target="https://www.linkedin.com/in/franziska-bechtold-67ab8b120/" TargetMode="External"/><Relationship Id="rId4" Type="http://schemas.openxmlformats.org/officeDocument/2006/relationships/hyperlink" Target="https://www.linkedin.com/in/georg-heckel-84a3ba94/" TargetMode="External"/><Relationship Id="rId9" Type="http://schemas.openxmlformats.org/officeDocument/2006/relationships/hyperlink" Target="https://www.linkedin.com/in/michaela-bechtel/" TargetMode="External"/><Relationship Id="rId14" Type="http://schemas.openxmlformats.org/officeDocument/2006/relationships/hyperlink" Target="https://www.linkedin.com/in/anke-gaab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74DE-2221-4D91-996A-CB8257E82457}">
  <dimension ref="A1:P4"/>
  <sheetViews>
    <sheetView topLeftCell="A8" workbookViewId="0">
      <selection activeCell="I4" sqref="I4"/>
    </sheetView>
  </sheetViews>
  <sheetFormatPr baseColWidth="10" defaultRowHeight="14.25"/>
  <cols>
    <col min="1" max="1" width="10.625" bestFit="1" customWidth="1"/>
    <col min="2" max="2" width="21" bestFit="1" customWidth="1"/>
    <col min="3" max="3" width="10.625" bestFit="1" customWidth="1"/>
    <col min="4" max="4" width="9.125" bestFit="1" customWidth="1"/>
    <col min="5" max="5" width="9" bestFit="1" customWidth="1"/>
    <col min="6" max="6" width="10.25" bestFit="1" customWidth="1"/>
    <col min="7" max="7" width="11" bestFit="1" customWidth="1"/>
    <col min="8" max="8" width="10.375" bestFit="1" customWidth="1"/>
    <col min="9" max="9" width="30" bestFit="1" customWidth="1"/>
    <col min="10" max="10" width="28.25" customWidth="1"/>
    <col min="11" max="11" width="11.125" bestFit="1" customWidth="1"/>
    <col min="12" max="12" width="7.25" bestFit="1" customWidth="1"/>
    <col min="13" max="13" width="7.875" bestFit="1" customWidth="1"/>
    <col min="14" max="14" width="7" bestFit="1" customWidth="1"/>
    <col min="15" max="15" width="9" bestFit="1" customWidth="1"/>
    <col min="16" max="16" width="10.125" bestFit="1" customWidth="1"/>
  </cols>
  <sheetData>
    <row r="1" spans="1:16" s="2" customFormat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6</v>
      </c>
      <c r="J1" s="1" t="s">
        <v>15</v>
      </c>
      <c r="K1" s="1" t="s">
        <v>7</v>
      </c>
      <c r="L1" s="1" t="s">
        <v>12</v>
      </c>
      <c r="M1" s="1" t="s">
        <v>8</v>
      </c>
      <c r="N1" s="1" t="s">
        <v>10</v>
      </c>
      <c r="O1" s="1" t="s">
        <v>9</v>
      </c>
      <c r="P1" s="1" t="s">
        <v>11</v>
      </c>
    </row>
    <row r="2" spans="1:16" s="2" customForma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5">
        <v>45971</v>
      </c>
      <c r="H2" s="5">
        <v>46014</v>
      </c>
      <c r="I2" s="3" t="s">
        <v>22</v>
      </c>
      <c r="K2" s="2" t="s">
        <v>23</v>
      </c>
      <c r="L2" s="2" t="str">
        <f>IF(P2&gt;=0.7,"On Track",IF(P2&gt;=0.4,"At Risk","Behind"))</f>
        <v>Behind</v>
      </c>
      <c r="M2" s="2">
        <v>25</v>
      </c>
      <c r="N2" s="2">
        <v>1</v>
      </c>
      <c r="O2" s="2">
        <v>5</v>
      </c>
      <c r="P2" s="4">
        <f>IF(M2-N2=0,0,(O2-N2)/(M2-N2))</f>
        <v>0.16666666666666666</v>
      </c>
    </row>
    <row r="3" spans="1:16" s="2" customForma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24</v>
      </c>
      <c r="G3" s="5">
        <v>45971</v>
      </c>
      <c r="H3" s="5">
        <v>46014</v>
      </c>
      <c r="I3" s="3" t="s">
        <v>25</v>
      </c>
      <c r="K3" s="2" t="s">
        <v>23</v>
      </c>
      <c r="L3" s="2" t="str">
        <f>IF(P3&gt;=0.7,"On Track",IF(P3&gt;=0.4,"At Risk","Behind"))</f>
        <v>Behind</v>
      </c>
      <c r="M3" s="2">
        <v>25</v>
      </c>
      <c r="N3" s="2">
        <v>0</v>
      </c>
      <c r="O3" s="2">
        <v>0</v>
      </c>
      <c r="P3" s="4">
        <f>IF(M3-N3=0,0,(O3-N3)/(M3-N3))</f>
        <v>0</v>
      </c>
    </row>
    <row r="4" spans="1:16" s="2" customFormat="1" ht="28.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26</v>
      </c>
      <c r="G4" s="5">
        <v>45971</v>
      </c>
      <c r="H4" s="5">
        <v>46014</v>
      </c>
      <c r="I4" s="3" t="s">
        <v>32</v>
      </c>
      <c r="K4" s="2" t="s">
        <v>23</v>
      </c>
      <c r="L4" s="2" t="str">
        <f>IF(P4&gt;=0.7,"On Track",IF(P4&gt;=0.4,"At Risk","Behind"))</f>
        <v>Behind</v>
      </c>
      <c r="M4" s="2">
        <v>500</v>
      </c>
      <c r="N4" s="2">
        <v>0</v>
      </c>
      <c r="O4" s="2">
        <v>0</v>
      </c>
      <c r="P4" s="4">
        <f>IF(M4-N4=0,0,(O4-N4)/(M4-N4))</f>
        <v>0</v>
      </c>
    </row>
  </sheetData>
  <conditionalFormatting sqref="L2:L4">
    <cfRule type="cellIs" dxfId="2" priority="1" operator="equal">
      <formula>"On Track"</formula>
    </cfRule>
    <cfRule type="cellIs" dxfId="1" priority="2" operator="equal">
      <formula>"At Risk"</formula>
    </cfRule>
    <cfRule type="cellIs" dxfId="0" priority="3" operator="equal">
      <formula>"Behind"</formula>
    </cfRule>
  </conditionalFormatting>
  <dataValidations count="2">
    <dataValidation type="list" allowBlank="1" promptTitle="Quarter" prompt="Select Quarter" sqref="E2:E4" xr:uid="{531390F4-360F-4973-9CB2-30A1879818A3}">
      <formula1>"Q1 2025,Q2 2025,Q3 2025,Q4 2025"</formula1>
      <formula2>0</formula2>
    </dataValidation>
    <dataValidation type="list" allowBlank="1" promptTitle="Priority" prompt="Select Priority Level" sqref="D2:D4" xr:uid="{CE7FCC12-3EBB-4A5D-8445-F911F95F45A9}">
      <formula1>"High,Medium,Low"</formula1>
      <formula2>0</formula2>
    </dataValidation>
  </dataValidation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9078-F4DA-4502-83BA-11FD9A09C68F}">
  <dimension ref="A1:H18"/>
  <sheetViews>
    <sheetView tabSelected="1" zoomScale="145" zoomScaleNormal="145" workbookViewId="0">
      <selection activeCell="A10" sqref="A10"/>
    </sheetView>
  </sheetViews>
  <sheetFormatPr baseColWidth="10" defaultRowHeight="14.25"/>
  <cols>
    <col min="1" max="1" width="4" style="34" bestFit="1" customWidth="1"/>
    <col min="3" max="3" width="12.125" style="9" bestFit="1" customWidth="1"/>
    <col min="4" max="4" width="7.875" style="6" bestFit="1" customWidth="1"/>
    <col min="5" max="6" width="14.75" style="6" customWidth="1"/>
    <col min="7" max="7" width="12.125" style="9" bestFit="1" customWidth="1"/>
    <col min="8" max="8" width="7.875" style="6" bestFit="1" customWidth="1"/>
  </cols>
  <sheetData>
    <row r="1" spans="1:8" ht="60">
      <c r="A1" s="32" t="s">
        <v>138</v>
      </c>
      <c r="B1" s="27" t="s">
        <v>27</v>
      </c>
      <c r="C1" s="28" t="s">
        <v>147</v>
      </c>
      <c r="D1" s="27" t="s">
        <v>133</v>
      </c>
      <c r="E1" s="28" t="s">
        <v>146</v>
      </c>
      <c r="F1" s="27" t="s">
        <v>135</v>
      </c>
      <c r="G1" s="28" t="s">
        <v>145</v>
      </c>
      <c r="H1" s="27" t="s">
        <v>135</v>
      </c>
    </row>
    <row r="2" spans="1:8" ht="15">
      <c r="A2" s="32"/>
      <c r="B2" s="39" t="s">
        <v>144</v>
      </c>
      <c r="C2" s="13">
        <v>300</v>
      </c>
      <c r="D2" s="13"/>
      <c r="E2" s="13">
        <v>10</v>
      </c>
      <c r="F2" s="13"/>
      <c r="G2" s="13">
        <v>20</v>
      </c>
      <c r="H2" s="27"/>
    </row>
    <row r="3" spans="1:8" s="13" customFormat="1" ht="15">
      <c r="B3" s="13" t="s">
        <v>148</v>
      </c>
      <c r="C3" s="40">
        <v>46112</v>
      </c>
    </row>
    <row r="4" spans="1:8">
      <c r="A4" s="33"/>
      <c r="B4" s="29" t="s">
        <v>31</v>
      </c>
      <c r="C4" s="9">
        <v>0</v>
      </c>
      <c r="D4" s="26">
        <f>C4/300</f>
        <v>0</v>
      </c>
      <c r="E4" s="9"/>
      <c r="F4" s="26">
        <f>SUM($E$4:E4)/20</f>
        <v>0</v>
      </c>
      <c r="H4" s="26">
        <f>SUM($G$4:G4)/20</f>
        <v>0</v>
      </c>
    </row>
    <row r="5" spans="1:8">
      <c r="A5" s="33" t="s">
        <v>142</v>
      </c>
      <c r="B5" s="30">
        <v>46027</v>
      </c>
      <c r="C5" s="9">
        <v>6</v>
      </c>
      <c r="D5" s="26">
        <f t="shared" ref="D5:D10" si="0">C5/300</f>
        <v>0.02</v>
      </c>
      <c r="E5" s="9">
        <v>0</v>
      </c>
      <c r="F5" s="26">
        <f>SUM($E$4:E5)/20</f>
        <v>0</v>
      </c>
      <c r="G5" s="9">
        <v>0</v>
      </c>
      <c r="H5" s="26">
        <f>SUM($G$4:G5)/20</f>
        <v>0</v>
      </c>
    </row>
    <row r="6" spans="1:8">
      <c r="A6" s="33" t="s">
        <v>141</v>
      </c>
      <c r="B6" s="30">
        <v>46034</v>
      </c>
      <c r="C6" s="9">
        <v>23</v>
      </c>
      <c r="D6" s="26">
        <f t="shared" si="0"/>
        <v>7.6666666666666661E-2</v>
      </c>
      <c r="E6" s="9">
        <v>0</v>
      </c>
      <c r="F6" s="26">
        <f>SUM($E$4:E6)/20</f>
        <v>0</v>
      </c>
      <c r="G6" s="9">
        <v>0</v>
      </c>
      <c r="H6" s="26">
        <f>SUM($G$4:G6)/20</f>
        <v>0</v>
      </c>
    </row>
    <row r="7" spans="1:8">
      <c r="A7" s="33" t="s">
        <v>140</v>
      </c>
      <c r="B7" s="30">
        <v>46041</v>
      </c>
      <c r="C7" s="9">
        <v>45</v>
      </c>
      <c r="D7" s="26">
        <f t="shared" si="0"/>
        <v>0.15</v>
      </c>
      <c r="E7" s="9">
        <v>0</v>
      </c>
      <c r="F7" s="26">
        <f>SUM($E$4:E7)/20</f>
        <v>0</v>
      </c>
      <c r="G7" s="9">
        <v>0</v>
      </c>
      <c r="H7" s="26">
        <f>SUM($G$4:G7)/20</f>
        <v>0</v>
      </c>
    </row>
    <row r="8" spans="1:8">
      <c r="A8" s="33" t="s">
        <v>139</v>
      </c>
      <c r="B8" s="30">
        <v>46048</v>
      </c>
      <c r="C8" s="9">
        <v>49</v>
      </c>
      <c r="D8" s="26">
        <f t="shared" si="0"/>
        <v>0.16333333333333333</v>
      </c>
      <c r="E8" s="9">
        <v>3</v>
      </c>
      <c r="F8" s="26">
        <f>SUM($E$4:E8)/10</f>
        <v>0.3</v>
      </c>
      <c r="G8" s="9">
        <v>1</v>
      </c>
      <c r="H8" s="26">
        <f>SUM($G$4:G8)/20</f>
        <v>0.05</v>
      </c>
    </row>
    <row r="9" spans="1:8">
      <c r="A9" s="33">
        <v>5</v>
      </c>
      <c r="B9" s="31">
        <v>46054</v>
      </c>
      <c r="C9" s="9">
        <v>62</v>
      </c>
      <c r="D9" s="26">
        <f t="shared" si="0"/>
        <v>0.20666666666666667</v>
      </c>
      <c r="E9" s="9">
        <v>0</v>
      </c>
      <c r="F9" s="26">
        <f>SUM($E$4:E9)/20</f>
        <v>0.15</v>
      </c>
      <c r="G9" s="9">
        <v>2</v>
      </c>
      <c r="H9" s="26">
        <f>SUM($G$4:G9)/20</f>
        <v>0.15</v>
      </c>
    </row>
    <row r="10" spans="1:8">
      <c r="A10" s="33"/>
      <c r="B10" s="30"/>
      <c r="D10" s="26"/>
      <c r="E10" s="9"/>
      <c r="F10" s="26"/>
      <c r="H10" s="26"/>
    </row>
    <row r="11" spans="1:8">
      <c r="A11" s="33"/>
      <c r="B11" s="30"/>
      <c r="D11" s="26"/>
      <c r="E11" s="9"/>
      <c r="F11" s="26"/>
      <c r="H11" s="26"/>
    </row>
    <row r="12" spans="1:8">
      <c r="B12" s="10"/>
      <c r="D12" s="26"/>
      <c r="E12" s="9"/>
      <c r="F12" s="26"/>
      <c r="H12" s="26"/>
    </row>
    <row r="13" spans="1:8">
      <c r="B13" s="10"/>
      <c r="D13" s="26"/>
      <c r="E13" s="9"/>
      <c r="F13" s="26"/>
      <c r="H13" s="26"/>
    </row>
    <row r="14" spans="1:8">
      <c r="B14" s="7"/>
      <c r="D14" s="26"/>
      <c r="E14" s="9"/>
      <c r="F14" s="26"/>
      <c r="H14" s="26"/>
    </row>
    <row r="15" spans="1:8">
      <c r="B15" s="10"/>
      <c r="D15" s="26"/>
      <c r="E15" s="9"/>
      <c r="F15" s="26"/>
      <c r="H15" s="26"/>
    </row>
    <row r="16" spans="1:8">
      <c r="B16" s="10"/>
      <c r="D16" s="26"/>
      <c r="F16" s="26"/>
      <c r="H16" s="26"/>
    </row>
    <row r="17" spans="2:8">
      <c r="B17" s="10"/>
      <c r="D17" s="26"/>
      <c r="F17" s="26"/>
      <c r="H17" s="26"/>
    </row>
    <row r="18" spans="2:8">
      <c r="B18" s="7"/>
      <c r="D18" s="26"/>
      <c r="F18" s="26"/>
      <c r="H18" s="26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A897-C8BB-4BCA-B4E0-132524DE1624}">
  <dimension ref="A1:H16"/>
  <sheetViews>
    <sheetView workbookViewId="0">
      <selection activeCell="F13" sqref="F13"/>
    </sheetView>
  </sheetViews>
  <sheetFormatPr baseColWidth="10" defaultRowHeight="14.25"/>
  <cols>
    <col min="1" max="1" width="4" style="34" bestFit="1" customWidth="1"/>
    <col min="3" max="3" width="12.125" style="9" bestFit="1" customWidth="1"/>
    <col min="4" max="4" width="7.875" style="6" bestFit="1" customWidth="1"/>
    <col min="5" max="6" width="14.75" style="6" customWidth="1"/>
    <col min="7" max="7" width="12.125" style="9" bestFit="1" customWidth="1"/>
    <col min="8" max="8" width="7.875" style="6" bestFit="1" customWidth="1"/>
  </cols>
  <sheetData>
    <row r="1" spans="1:8" s="13" customFormat="1" ht="60">
      <c r="A1" s="32" t="s">
        <v>138</v>
      </c>
      <c r="B1" s="27" t="s">
        <v>27</v>
      </c>
      <c r="C1" s="35" t="s">
        <v>137</v>
      </c>
      <c r="D1" s="36" t="s">
        <v>133</v>
      </c>
      <c r="E1" s="35" t="s">
        <v>134</v>
      </c>
      <c r="F1" s="36" t="s">
        <v>135</v>
      </c>
      <c r="G1" s="35" t="s">
        <v>136</v>
      </c>
      <c r="H1" s="36" t="s">
        <v>135</v>
      </c>
    </row>
    <row r="2" spans="1:8">
      <c r="A2" s="33"/>
      <c r="B2" s="29" t="s">
        <v>31</v>
      </c>
      <c r="C2" s="37">
        <v>0</v>
      </c>
      <c r="D2" s="38">
        <f>SUM($C$2:C2)/20</f>
        <v>0</v>
      </c>
      <c r="E2" s="37"/>
      <c r="F2" s="38">
        <f>SUM($E$2:E2)/20</f>
        <v>0</v>
      </c>
      <c r="G2" s="37"/>
      <c r="H2" s="38">
        <f>SUM($G$2:G2)/20</f>
        <v>0</v>
      </c>
    </row>
    <row r="3" spans="1:8">
      <c r="A3" s="33" t="s">
        <v>142</v>
      </c>
      <c r="B3" s="30">
        <v>46027</v>
      </c>
      <c r="C3" s="37">
        <v>6</v>
      </c>
      <c r="D3" s="38">
        <f>SUM($C$2:C3)/23</f>
        <v>0.2608695652173913</v>
      </c>
      <c r="E3" s="37">
        <v>0</v>
      </c>
      <c r="F3" s="38">
        <f>SUM($E$2:E3)/20</f>
        <v>0</v>
      </c>
      <c r="G3" s="37">
        <v>0</v>
      </c>
      <c r="H3" s="38">
        <f>SUM($G$2:G3)/20</f>
        <v>0</v>
      </c>
    </row>
    <row r="4" spans="1:8">
      <c r="A4" s="33" t="s">
        <v>141</v>
      </c>
      <c r="B4" s="30">
        <v>46034</v>
      </c>
      <c r="C4" s="37">
        <v>23</v>
      </c>
      <c r="D4" s="38">
        <f>SUM($C$2:C4)/23</f>
        <v>1.2608695652173914</v>
      </c>
      <c r="E4" s="37">
        <v>0</v>
      </c>
      <c r="F4" s="38">
        <f>SUM($E$2:E4)/20</f>
        <v>0</v>
      </c>
      <c r="G4" s="37">
        <v>0</v>
      </c>
      <c r="H4" s="38">
        <f>SUM($G$2:G4)/20</f>
        <v>0</v>
      </c>
    </row>
    <row r="5" spans="1:8">
      <c r="A5" s="33" t="s">
        <v>140</v>
      </c>
      <c r="B5" s="30">
        <v>46041</v>
      </c>
      <c r="C5" s="37">
        <v>45</v>
      </c>
      <c r="D5" s="38">
        <f>SUM($C$2:C5)/23</f>
        <v>3.2173913043478262</v>
      </c>
      <c r="E5" s="37">
        <v>0</v>
      </c>
      <c r="F5" s="38">
        <f>SUM($E$2:E5)/20</f>
        <v>0</v>
      </c>
      <c r="G5" s="37">
        <v>0</v>
      </c>
      <c r="H5" s="38">
        <f>SUM($G$2:G5)/20</f>
        <v>0</v>
      </c>
    </row>
    <row r="6" spans="1:8">
      <c r="A6" s="33" t="s">
        <v>139</v>
      </c>
      <c r="B6" s="30">
        <v>46048</v>
      </c>
      <c r="C6" s="37">
        <v>49</v>
      </c>
      <c r="D6" s="38">
        <f>SUM($C$2:C6)/23</f>
        <v>5.3478260869565215</v>
      </c>
      <c r="E6" s="37">
        <v>3</v>
      </c>
      <c r="F6" s="38">
        <f>SUM($E$2:E6)/10</f>
        <v>0.3</v>
      </c>
      <c r="G6" s="37">
        <v>1</v>
      </c>
      <c r="H6" s="38">
        <f>SUM($G$2:G6)/20</f>
        <v>0.05</v>
      </c>
    </row>
    <row r="7" spans="1:8">
      <c r="A7" s="33">
        <v>5</v>
      </c>
      <c r="B7" s="31">
        <v>46054</v>
      </c>
      <c r="C7" s="37">
        <v>62</v>
      </c>
      <c r="D7" s="38">
        <f>SUM($C$2:C7)/23</f>
        <v>8.0434782608695645</v>
      </c>
      <c r="E7" s="37">
        <v>0</v>
      </c>
      <c r="F7" s="38">
        <f>SUM($E$2:E7)/20</f>
        <v>0.15</v>
      </c>
      <c r="G7" s="37">
        <v>2</v>
      </c>
      <c r="H7" s="38">
        <f>SUM($G$2:G7)/20</f>
        <v>0.15</v>
      </c>
    </row>
    <row r="8" spans="1:8">
      <c r="A8" s="33" t="s">
        <v>143</v>
      </c>
      <c r="B8" s="30">
        <v>46061</v>
      </c>
      <c r="C8" s="37"/>
      <c r="D8" s="38">
        <f>SUM($C$2:C8)/23</f>
        <v>8.0434782608695645</v>
      </c>
      <c r="E8" s="37">
        <v>0</v>
      </c>
      <c r="F8" s="38">
        <f>SUM($E$2:E8)/20</f>
        <v>0.15</v>
      </c>
      <c r="G8" s="37">
        <v>0</v>
      </c>
      <c r="H8" s="38">
        <f>SUM($G$2:G8)/20</f>
        <v>0.15</v>
      </c>
    </row>
    <row r="9" spans="1:8">
      <c r="A9" s="33"/>
      <c r="B9" s="30"/>
      <c r="D9" s="26"/>
      <c r="E9" s="9"/>
      <c r="F9" s="26"/>
      <c r="H9" s="26"/>
    </row>
    <row r="10" spans="1:8">
      <c r="B10" s="10"/>
      <c r="D10" s="26"/>
      <c r="E10" s="9"/>
      <c r="F10" s="26"/>
      <c r="H10" s="26"/>
    </row>
    <row r="11" spans="1:8">
      <c r="B11" s="10"/>
      <c r="D11" s="26"/>
      <c r="E11" s="9"/>
      <c r="F11" s="26"/>
      <c r="H11" s="26"/>
    </row>
    <row r="12" spans="1:8">
      <c r="B12" s="7"/>
      <c r="D12" s="26"/>
      <c r="E12" s="9"/>
      <c r="F12" s="26"/>
      <c r="H12" s="26"/>
    </row>
    <row r="13" spans="1:8">
      <c r="B13" s="10"/>
      <c r="D13" s="26"/>
      <c r="E13" s="9"/>
      <c r="F13" s="26"/>
      <c r="H13" s="26"/>
    </row>
    <row r="14" spans="1:8">
      <c r="B14" s="10"/>
      <c r="D14" s="26"/>
      <c r="F14" s="26"/>
      <c r="H14" s="26"/>
    </row>
    <row r="15" spans="1:8">
      <c r="B15" s="10"/>
      <c r="D15" s="26"/>
      <c r="F15" s="26"/>
      <c r="H15" s="26"/>
    </row>
    <row r="16" spans="1:8">
      <c r="B16" s="7"/>
      <c r="D16" s="26"/>
      <c r="F16" s="26"/>
      <c r="H16" s="26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3DF2-5AC3-4A78-A980-E0046702AA0C}">
  <dimension ref="A1:I16"/>
  <sheetViews>
    <sheetView workbookViewId="0">
      <selection activeCell="E21" sqref="E21"/>
    </sheetView>
  </sheetViews>
  <sheetFormatPr baseColWidth="10" defaultRowHeight="14.25"/>
  <cols>
    <col min="2" max="2" width="12.125" style="9" bestFit="1" customWidth="1"/>
    <col min="3" max="3" width="7.875" style="6" bestFit="1" customWidth="1"/>
    <col min="4" max="5" width="14.75" style="6" customWidth="1"/>
    <col min="6" max="6" width="12.125" style="9" bestFit="1" customWidth="1"/>
    <col min="7" max="7" width="7.875" style="6" bestFit="1" customWidth="1"/>
    <col min="8" max="8" width="11" style="9" bestFit="1" customWidth="1"/>
    <col min="9" max="9" width="7.875" style="6" bestFit="1" customWidth="1"/>
  </cols>
  <sheetData>
    <row r="1" spans="1:9" s="13" customFormat="1" ht="60">
      <c r="A1" s="13" t="s">
        <v>27</v>
      </c>
      <c r="B1" s="12" t="s">
        <v>33</v>
      </c>
      <c r="C1" s="13" t="s">
        <v>28</v>
      </c>
      <c r="D1" s="12" t="s">
        <v>129</v>
      </c>
      <c r="E1" s="13" t="s">
        <v>28</v>
      </c>
      <c r="F1" s="12" t="s">
        <v>127</v>
      </c>
      <c r="G1" s="13" t="s">
        <v>29</v>
      </c>
      <c r="H1" s="12" t="s">
        <v>128</v>
      </c>
      <c r="I1" s="13" t="s">
        <v>30</v>
      </c>
    </row>
    <row r="2" spans="1:9">
      <c r="A2" s="8" t="s">
        <v>31</v>
      </c>
      <c r="B2" s="9">
        <v>1</v>
      </c>
      <c r="C2" s="11">
        <f>SUM($B$2:B2)/20</f>
        <v>0.05</v>
      </c>
      <c r="D2" s="9">
        <v>0</v>
      </c>
      <c r="E2" s="11">
        <f>SUM($D$2:D2)/20</f>
        <v>0</v>
      </c>
      <c r="F2" s="9">
        <v>0</v>
      </c>
      <c r="G2" s="11">
        <f>SUM($F$2:F2)/20</f>
        <v>0</v>
      </c>
      <c r="H2" s="9">
        <v>0</v>
      </c>
      <c r="I2" s="11">
        <f>H2/Übersicht!$M$4</f>
        <v>0</v>
      </c>
    </row>
    <row r="3" spans="1:9">
      <c r="A3" s="10">
        <v>45942</v>
      </c>
      <c r="B3" s="9">
        <v>0</v>
      </c>
      <c r="C3" s="11">
        <f>SUM($B$2:B3)/20</f>
        <v>0.05</v>
      </c>
      <c r="D3" s="9">
        <v>0</v>
      </c>
      <c r="E3" s="11">
        <f>SUM($D$2:D3)/20</f>
        <v>0</v>
      </c>
      <c r="F3" s="9">
        <v>0</v>
      </c>
      <c r="G3" s="11">
        <f>SUM($F$2:F3)/20</f>
        <v>0</v>
      </c>
      <c r="H3" s="9">
        <v>12</v>
      </c>
      <c r="I3" s="11">
        <f>H3/Übersicht!$M$4</f>
        <v>2.4E-2</v>
      </c>
    </row>
    <row r="4" spans="1:9">
      <c r="A4" s="10">
        <v>45949</v>
      </c>
      <c r="B4" s="9">
        <v>0</v>
      </c>
      <c r="C4" s="11">
        <f>SUM($B$2:B4)/20</f>
        <v>0.05</v>
      </c>
      <c r="D4" s="9">
        <v>0</v>
      </c>
      <c r="E4" s="11">
        <f>SUM($D$2:D4)/20</f>
        <v>0</v>
      </c>
      <c r="F4" s="9">
        <v>0</v>
      </c>
      <c r="G4" s="11">
        <f>SUM($F$2:F4)/20</f>
        <v>0</v>
      </c>
      <c r="H4" s="9">
        <v>2</v>
      </c>
      <c r="I4" s="11">
        <f>H4/Übersicht!$M$4</f>
        <v>4.0000000000000001E-3</v>
      </c>
    </row>
    <row r="5" spans="1:9">
      <c r="A5" s="10">
        <v>45956</v>
      </c>
      <c r="B5" s="9">
        <v>0</v>
      </c>
      <c r="C5" s="11">
        <f>SUM($B$2:B5)/20</f>
        <v>0.05</v>
      </c>
      <c r="D5" s="9">
        <v>0</v>
      </c>
      <c r="E5" s="11">
        <f>SUM($D$2:D5)/20</f>
        <v>0</v>
      </c>
      <c r="F5" s="9">
        <v>0</v>
      </c>
      <c r="G5" s="11">
        <f>SUM($F$2:F5)/20</f>
        <v>0</v>
      </c>
      <c r="H5" s="9">
        <v>5</v>
      </c>
      <c r="I5" s="11">
        <f>H5/Übersicht!$M$4</f>
        <v>0.01</v>
      </c>
    </row>
    <row r="6" spans="1:9">
      <c r="A6" s="10">
        <v>45963</v>
      </c>
      <c r="B6" s="9">
        <v>0</v>
      </c>
      <c r="C6" s="11">
        <f>SUM($B$2:B6)/20</f>
        <v>0.05</v>
      </c>
      <c r="D6" s="9">
        <v>0</v>
      </c>
      <c r="E6" s="11">
        <f>SUM($D$2:D6)/20</f>
        <v>0</v>
      </c>
      <c r="F6" s="9">
        <v>0</v>
      </c>
      <c r="G6" s="11">
        <f>SUM($F$2:F6)/20</f>
        <v>0</v>
      </c>
      <c r="H6" s="9">
        <v>15</v>
      </c>
      <c r="I6" s="11">
        <f>H6/Übersicht!$M$4</f>
        <v>0.03</v>
      </c>
    </row>
    <row r="7" spans="1:9">
      <c r="A7" s="7">
        <v>45970</v>
      </c>
      <c r="B7" s="9">
        <v>0</v>
      </c>
      <c r="C7" s="11">
        <f>SUM($B$2:B7)/20</f>
        <v>0.05</v>
      </c>
      <c r="D7" s="9">
        <v>0</v>
      </c>
      <c r="E7" s="11">
        <f>SUM($D$2:D7)/20</f>
        <v>0</v>
      </c>
      <c r="F7" s="9">
        <v>0</v>
      </c>
      <c r="G7" s="11">
        <f>SUM($F$2:F7)/20</f>
        <v>0</v>
      </c>
      <c r="H7" s="9">
        <v>20</v>
      </c>
      <c r="I7" s="11">
        <f>H7/Übersicht!$M$4</f>
        <v>0.04</v>
      </c>
    </row>
    <row r="8" spans="1:9">
      <c r="A8" s="10">
        <v>45977</v>
      </c>
      <c r="B8" s="9">
        <v>0</v>
      </c>
      <c r="C8" s="11">
        <f>SUM($B$2:B8)/20</f>
        <v>0.05</v>
      </c>
      <c r="D8" s="9">
        <v>0</v>
      </c>
      <c r="E8" s="11">
        <f>SUM($D$2:D8)/20</f>
        <v>0</v>
      </c>
      <c r="F8" s="9">
        <v>0</v>
      </c>
      <c r="G8" s="11">
        <f>SUM($F$2:F8)/20</f>
        <v>0</v>
      </c>
      <c r="H8" s="9">
        <v>66</v>
      </c>
      <c r="I8" s="11">
        <f>H8/Übersicht!$M$4</f>
        <v>0.13200000000000001</v>
      </c>
    </row>
    <row r="9" spans="1:9">
      <c r="A9" s="10">
        <v>45984</v>
      </c>
      <c r="B9" s="9">
        <v>0</v>
      </c>
      <c r="C9" s="11">
        <f>SUM($B$2:B9)/20</f>
        <v>0.05</v>
      </c>
      <c r="D9" s="9">
        <v>0</v>
      </c>
      <c r="E9" s="11">
        <f>SUM($D$2:D9)/20</f>
        <v>0</v>
      </c>
      <c r="F9" s="9">
        <v>0</v>
      </c>
      <c r="G9" s="11">
        <f>SUM($F$2:F9)/20</f>
        <v>0</v>
      </c>
      <c r="H9" s="9">
        <v>35</v>
      </c>
      <c r="I9" s="11">
        <f>H9/Übersicht!$M$4</f>
        <v>7.0000000000000007E-2</v>
      </c>
    </row>
    <row r="10" spans="1:9">
      <c r="A10" s="10">
        <v>45991</v>
      </c>
      <c r="B10" s="9">
        <v>0</v>
      </c>
      <c r="C10" s="11">
        <f>SUM($B$2:B10)/20</f>
        <v>0.05</v>
      </c>
      <c r="D10" s="9">
        <v>0</v>
      </c>
      <c r="E10" s="11">
        <f>SUM($D$2:D10)/20</f>
        <v>0</v>
      </c>
      <c r="F10" s="9">
        <v>0</v>
      </c>
      <c r="G10" s="11">
        <f>SUM($F$2:F10)/20</f>
        <v>0</v>
      </c>
      <c r="H10" s="9">
        <v>24</v>
      </c>
      <c r="I10" s="11">
        <f>H10/Übersicht!$M$4</f>
        <v>4.8000000000000001E-2</v>
      </c>
    </row>
    <row r="11" spans="1:9">
      <c r="A11" s="10">
        <v>45998</v>
      </c>
      <c r="B11" s="9">
        <v>0</v>
      </c>
      <c r="C11" s="11">
        <f>SUM($B$2:B11)/20</f>
        <v>0.05</v>
      </c>
      <c r="D11" s="9">
        <v>0</v>
      </c>
      <c r="E11" s="11">
        <f>SUM($D$2:D11)/20</f>
        <v>0</v>
      </c>
      <c r="F11" s="9">
        <v>1</v>
      </c>
      <c r="G11" s="11">
        <f>SUM($F$2:F11)/20</f>
        <v>0.05</v>
      </c>
      <c r="H11" s="9">
        <v>37</v>
      </c>
      <c r="I11" s="11">
        <f>H11/Übersicht!$M$4</f>
        <v>7.3999999999999996E-2</v>
      </c>
    </row>
    <row r="12" spans="1:9">
      <c r="A12" s="7">
        <v>46005</v>
      </c>
      <c r="B12" s="9">
        <v>0</v>
      </c>
      <c r="C12" s="11">
        <f>SUM($B$2:B12)/20</f>
        <v>0.05</v>
      </c>
      <c r="D12" s="9">
        <v>0</v>
      </c>
      <c r="E12" s="11">
        <f>SUM($D$2:D12)/20</f>
        <v>0</v>
      </c>
      <c r="F12" s="9">
        <v>1</v>
      </c>
      <c r="G12" s="11">
        <f>SUM($F$2:F12)/20</f>
        <v>0.1</v>
      </c>
      <c r="H12" s="9">
        <v>28</v>
      </c>
      <c r="I12" s="11">
        <f>H12/Übersicht!$M$4</f>
        <v>5.6000000000000001E-2</v>
      </c>
    </row>
    <row r="13" spans="1:9">
      <c r="A13" s="10">
        <v>46012</v>
      </c>
      <c r="B13" s="9">
        <v>8</v>
      </c>
      <c r="C13" s="11">
        <f>SUM($B$2:B13)/20</f>
        <v>0.45</v>
      </c>
      <c r="D13" s="9">
        <v>0</v>
      </c>
      <c r="E13" s="11">
        <f>SUM($D$2:D13)/20</f>
        <v>0</v>
      </c>
      <c r="F13" s="9">
        <v>1</v>
      </c>
      <c r="G13" s="11">
        <f>SUM($F$2:F13)/20</f>
        <v>0.15</v>
      </c>
      <c r="I13" s="11">
        <f>H13/Übersicht!$M$4</f>
        <v>0</v>
      </c>
    </row>
    <row r="14" spans="1:9">
      <c r="A14" s="10">
        <v>46019</v>
      </c>
      <c r="B14" s="9">
        <v>8</v>
      </c>
      <c r="C14" s="11">
        <f>SUM($B$2:B14)/20</f>
        <v>0.85</v>
      </c>
      <c r="D14" s="6">
        <v>1</v>
      </c>
      <c r="E14" s="11">
        <f>SUM($D$2:D14)/20</f>
        <v>0.05</v>
      </c>
      <c r="F14" s="9">
        <v>1</v>
      </c>
      <c r="G14" s="11">
        <f>SUM($F$2:F14)/20</f>
        <v>0.2</v>
      </c>
      <c r="I14" s="11">
        <f>H14/Übersicht!$M$4</f>
        <v>0</v>
      </c>
    </row>
    <row r="15" spans="1:9">
      <c r="A15" s="10">
        <v>46026</v>
      </c>
      <c r="B15" s="9">
        <v>8</v>
      </c>
      <c r="C15" s="11">
        <f>SUM($B$2:B15)/20</f>
        <v>1.25</v>
      </c>
      <c r="D15" s="6">
        <v>0</v>
      </c>
      <c r="E15" s="11">
        <f>SUM($D$2:D15)/20</f>
        <v>0.05</v>
      </c>
      <c r="F15" s="9">
        <v>2</v>
      </c>
      <c r="G15" s="11">
        <f>SUM($F$2:F15)/20</f>
        <v>0.3</v>
      </c>
      <c r="I15" s="11">
        <f>H15/Übersicht!$M$4</f>
        <v>0</v>
      </c>
    </row>
    <row r="16" spans="1:9">
      <c r="A16" s="7">
        <v>46033</v>
      </c>
      <c r="C16" s="11">
        <f>SUM($B$2:B16)/20</f>
        <v>1.25</v>
      </c>
      <c r="E16" s="11">
        <f>SUM($D$2:D16)/20</f>
        <v>0.05</v>
      </c>
      <c r="G16" s="11">
        <f>SUM($F$2:F16)/20</f>
        <v>0.3</v>
      </c>
      <c r="I16" s="11">
        <f>H16/Übersicht!$M$4</f>
        <v>0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CB87-190F-4EE2-883A-E78272F99242}">
  <dimension ref="A1:M2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17" sqref="B17"/>
    </sheetView>
  </sheetViews>
  <sheetFormatPr baseColWidth="10" defaultColWidth="10.75" defaultRowHeight="14.25"/>
  <cols>
    <col min="1" max="1" width="23.625" style="2" customWidth="1"/>
    <col min="2" max="2" width="11" style="15" bestFit="1" customWidth="1"/>
    <col min="3" max="3" width="11" style="15" customWidth="1"/>
    <col min="4" max="4" width="20.625" style="2" bestFit="1" customWidth="1"/>
    <col min="5" max="5" width="10.75" style="2"/>
    <col min="6" max="6" width="14.25" style="2" bestFit="1" customWidth="1"/>
    <col min="7" max="7" width="16.25" style="3" bestFit="1" customWidth="1"/>
    <col min="8" max="8" width="17.875" style="3" bestFit="1" customWidth="1"/>
    <col min="9" max="9" width="29.875" style="3" customWidth="1"/>
    <col min="10" max="10" width="15.875" style="14" customWidth="1"/>
    <col min="11" max="11" width="17.625" style="15" bestFit="1" customWidth="1"/>
    <col min="12" max="12" width="12.375" style="14" bestFit="1" customWidth="1"/>
    <col min="13" max="13" width="15.25" style="14" bestFit="1" customWidth="1"/>
    <col min="14" max="16384" width="10.75" style="2"/>
  </cols>
  <sheetData>
    <row r="1" spans="1:13" s="24" customFormat="1" ht="30">
      <c r="A1" s="25" t="s">
        <v>34</v>
      </c>
      <c r="B1" s="25" t="s">
        <v>91</v>
      </c>
      <c r="C1" s="25" t="s">
        <v>90</v>
      </c>
      <c r="D1" s="25" t="s">
        <v>88</v>
      </c>
      <c r="E1" s="25" t="s">
        <v>89</v>
      </c>
      <c r="F1" s="25" t="s">
        <v>95</v>
      </c>
      <c r="G1" s="25" t="s">
        <v>87</v>
      </c>
      <c r="H1" s="25" t="s">
        <v>86</v>
      </c>
      <c r="I1" s="25" t="s">
        <v>85</v>
      </c>
      <c r="J1" s="25" t="s">
        <v>35</v>
      </c>
      <c r="K1" s="25" t="s">
        <v>84</v>
      </c>
      <c r="L1" s="25" t="s">
        <v>83</v>
      </c>
      <c r="M1" s="25" t="s">
        <v>82</v>
      </c>
    </row>
    <row r="2" spans="1:13">
      <c r="A2" s="22" t="s">
        <v>131</v>
      </c>
      <c r="B2" s="22">
        <v>45978</v>
      </c>
      <c r="C2" s="17" t="s">
        <v>35</v>
      </c>
      <c r="D2" s="19" t="s">
        <v>45</v>
      </c>
      <c r="E2" s="19" t="s">
        <v>44</v>
      </c>
      <c r="F2" s="19" t="s">
        <v>43</v>
      </c>
      <c r="G2" s="21" t="s">
        <v>42</v>
      </c>
      <c r="H2" s="17" t="s">
        <v>41</v>
      </c>
      <c r="I2" s="18" t="s">
        <v>40</v>
      </c>
      <c r="J2" s="20" t="s">
        <v>39</v>
      </c>
      <c r="K2" s="17" t="s">
        <v>38</v>
      </c>
      <c r="L2" s="16">
        <v>2014</v>
      </c>
      <c r="M2" s="16" t="s">
        <v>37</v>
      </c>
    </row>
    <row r="3" spans="1:13">
      <c r="A3" s="22" t="s">
        <v>131</v>
      </c>
      <c r="B3" s="22">
        <v>46006</v>
      </c>
      <c r="C3" s="17" t="s">
        <v>35</v>
      </c>
      <c r="D3" s="19" t="s">
        <v>80</v>
      </c>
      <c r="E3" s="19" t="s">
        <v>81</v>
      </c>
      <c r="F3" s="19" t="s">
        <v>48</v>
      </c>
      <c r="G3" s="18" t="s">
        <v>79</v>
      </c>
      <c r="H3" s="18"/>
      <c r="I3" s="18" t="s">
        <v>78</v>
      </c>
      <c r="J3" s="20" t="s">
        <v>39</v>
      </c>
      <c r="K3" s="17" t="s">
        <v>77</v>
      </c>
      <c r="L3" s="23">
        <v>43770</v>
      </c>
      <c r="M3" s="16" t="s">
        <v>76</v>
      </c>
    </row>
    <row r="4" spans="1:13" ht="28.5">
      <c r="A4" s="22" t="s">
        <v>131</v>
      </c>
      <c r="B4" s="22">
        <v>46006</v>
      </c>
      <c r="C4" s="17" t="s">
        <v>35</v>
      </c>
      <c r="D4" s="19" t="s">
        <v>74</v>
      </c>
      <c r="E4" s="19" t="s">
        <v>75</v>
      </c>
      <c r="F4" s="19" t="s">
        <v>48</v>
      </c>
      <c r="G4" s="18" t="s">
        <v>47</v>
      </c>
      <c r="H4" s="18" t="s">
        <v>97</v>
      </c>
      <c r="I4" s="18" t="s">
        <v>73</v>
      </c>
      <c r="J4" s="20" t="s">
        <v>39</v>
      </c>
      <c r="K4" s="17"/>
      <c r="L4" s="23">
        <v>43525</v>
      </c>
      <c r="M4" s="16" t="s">
        <v>72</v>
      </c>
    </row>
    <row r="5" spans="1:13" ht="28.5">
      <c r="A5" s="22" t="s">
        <v>131</v>
      </c>
      <c r="B5" s="22">
        <v>46006</v>
      </c>
      <c r="C5" s="17" t="s">
        <v>35</v>
      </c>
      <c r="D5" s="19" t="s">
        <v>49</v>
      </c>
      <c r="E5" s="19" t="s">
        <v>50</v>
      </c>
      <c r="F5" s="19" t="s">
        <v>48</v>
      </c>
      <c r="G5" s="18" t="s">
        <v>47</v>
      </c>
      <c r="H5" s="18"/>
      <c r="I5" s="18" t="s">
        <v>46</v>
      </c>
      <c r="J5" s="20" t="s">
        <v>39</v>
      </c>
      <c r="K5" s="17"/>
      <c r="L5" s="16"/>
      <c r="M5" s="16"/>
    </row>
    <row r="6" spans="1:13" ht="28.5">
      <c r="A6" s="22" t="s">
        <v>131</v>
      </c>
      <c r="B6" s="22">
        <v>46006</v>
      </c>
      <c r="C6" s="17" t="s">
        <v>35</v>
      </c>
      <c r="D6" s="19" t="s">
        <v>100</v>
      </c>
      <c r="E6" s="19" t="s">
        <v>101</v>
      </c>
      <c r="F6" s="19" t="s">
        <v>47</v>
      </c>
      <c r="G6" s="18" t="s">
        <v>102</v>
      </c>
      <c r="H6" s="18" t="s">
        <v>104</v>
      </c>
      <c r="I6" s="18" t="s">
        <v>103</v>
      </c>
      <c r="J6" s="20" t="s">
        <v>39</v>
      </c>
      <c r="K6" s="17"/>
      <c r="L6" s="16"/>
      <c r="M6" s="16"/>
    </row>
    <row r="7" spans="1:13">
      <c r="A7" s="22" t="s">
        <v>131</v>
      </c>
      <c r="B7" s="22">
        <v>46006</v>
      </c>
      <c r="C7" s="17" t="s">
        <v>35</v>
      </c>
      <c r="D7" s="19" t="s">
        <v>106</v>
      </c>
      <c r="E7" s="19" t="s">
        <v>107</v>
      </c>
      <c r="F7" s="19" t="s">
        <v>47</v>
      </c>
      <c r="G7" s="18" t="s">
        <v>108</v>
      </c>
      <c r="H7" s="18"/>
      <c r="I7" s="18" t="s">
        <v>105</v>
      </c>
      <c r="J7" s="20" t="s">
        <v>39</v>
      </c>
      <c r="K7" s="17"/>
      <c r="L7" s="16"/>
      <c r="M7" s="16"/>
    </row>
    <row r="8" spans="1:13" ht="28.5">
      <c r="A8" s="22" t="s">
        <v>131</v>
      </c>
      <c r="B8" s="22">
        <v>46006</v>
      </c>
      <c r="C8" s="17" t="s">
        <v>35</v>
      </c>
      <c r="D8" s="19" t="s">
        <v>113</v>
      </c>
      <c r="E8" s="19" t="s">
        <v>114</v>
      </c>
      <c r="F8" s="19" t="s">
        <v>47</v>
      </c>
      <c r="G8" s="18" t="s">
        <v>47</v>
      </c>
      <c r="H8" s="18"/>
      <c r="I8" s="18" t="s">
        <v>115</v>
      </c>
      <c r="J8" s="20" t="s">
        <v>39</v>
      </c>
      <c r="K8" s="17"/>
      <c r="L8" s="16"/>
      <c r="M8" s="16"/>
    </row>
    <row r="9" spans="1:13">
      <c r="A9" s="22" t="s">
        <v>131</v>
      </c>
      <c r="B9" s="22">
        <v>46006</v>
      </c>
      <c r="C9" s="17" t="s">
        <v>35</v>
      </c>
      <c r="D9" s="19" t="s">
        <v>117</v>
      </c>
      <c r="E9" s="19" t="s">
        <v>118</v>
      </c>
      <c r="F9" s="19" t="s">
        <v>48</v>
      </c>
      <c r="G9" s="18" t="s">
        <v>119</v>
      </c>
      <c r="I9" s="18" t="s">
        <v>116</v>
      </c>
      <c r="J9" s="20" t="s">
        <v>39</v>
      </c>
      <c r="K9" s="17"/>
      <c r="L9" s="16"/>
      <c r="M9" s="16"/>
    </row>
    <row r="10" spans="1:13">
      <c r="A10" s="22" t="s">
        <v>131</v>
      </c>
      <c r="B10" s="22">
        <v>46006</v>
      </c>
      <c r="C10" s="17" t="s">
        <v>35</v>
      </c>
      <c r="D10" s="19" t="s">
        <v>121</v>
      </c>
      <c r="E10" s="19" t="s">
        <v>122</v>
      </c>
      <c r="F10" s="19" t="s">
        <v>53</v>
      </c>
      <c r="G10" s="18" t="s">
        <v>108</v>
      </c>
      <c r="H10" s="18"/>
      <c r="I10" s="18" t="s">
        <v>120</v>
      </c>
      <c r="J10" s="20" t="s">
        <v>39</v>
      </c>
      <c r="K10" s="17"/>
      <c r="L10" s="16"/>
      <c r="M10" s="16"/>
    </row>
    <row r="11" spans="1:13">
      <c r="A11" s="22" t="s">
        <v>131</v>
      </c>
      <c r="B11" s="22">
        <v>46006</v>
      </c>
      <c r="C11" s="17" t="s">
        <v>35</v>
      </c>
      <c r="D11" s="19" t="s">
        <v>126</v>
      </c>
      <c r="E11" s="19" t="s">
        <v>125</v>
      </c>
      <c r="F11" s="19" t="s">
        <v>47</v>
      </c>
      <c r="G11" s="18" t="s">
        <v>124</v>
      </c>
      <c r="H11" s="18"/>
      <c r="I11" s="18" t="s">
        <v>123</v>
      </c>
      <c r="J11" s="20" t="s">
        <v>39</v>
      </c>
      <c r="K11" s="17"/>
      <c r="L11" s="16"/>
      <c r="M11" s="16"/>
    </row>
    <row r="12" spans="1:13">
      <c r="A12" s="17" t="s">
        <v>132</v>
      </c>
      <c r="B12" s="22">
        <v>45992</v>
      </c>
      <c r="C12" s="17" t="s">
        <v>36</v>
      </c>
      <c r="D12" s="19" t="s">
        <v>92</v>
      </c>
      <c r="E12" s="19" t="s">
        <v>93</v>
      </c>
      <c r="F12" s="19" t="s">
        <v>94</v>
      </c>
      <c r="G12" s="18" t="s">
        <v>96</v>
      </c>
      <c r="H12" s="18"/>
      <c r="I12" s="18"/>
      <c r="J12" s="16"/>
      <c r="K12" s="17"/>
      <c r="L12" s="16"/>
      <c r="M12" s="16"/>
    </row>
    <row r="13" spans="1:13" ht="28.5">
      <c r="A13" s="17"/>
      <c r="B13" s="17"/>
      <c r="C13" s="17"/>
      <c r="D13" s="19" t="s">
        <v>70</v>
      </c>
      <c r="E13" s="19" t="s">
        <v>71</v>
      </c>
      <c r="F13" s="19" t="s">
        <v>48</v>
      </c>
      <c r="G13" s="18" t="s">
        <v>47</v>
      </c>
      <c r="H13" s="18"/>
      <c r="I13" s="18" t="s">
        <v>69</v>
      </c>
      <c r="J13" s="20" t="s">
        <v>39</v>
      </c>
      <c r="K13" s="17" t="s">
        <v>68</v>
      </c>
      <c r="L13" s="16"/>
      <c r="M13" s="16" t="s">
        <v>37</v>
      </c>
    </row>
    <row r="14" spans="1:13" ht="28.5">
      <c r="A14" s="17"/>
      <c r="B14" s="17"/>
      <c r="C14" s="17"/>
      <c r="D14" s="19" t="s">
        <v>67</v>
      </c>
      <c r="E14" s="19" t="s">
        <v>66</v>
      </c>
      <c r="F14" s="19" t="s">
        <v>47</v>
      </c>
      <c r="G14" s="18"/>
      <c r="H14" s="18"/>
      <c r="I14" s="18"/>
      <c r="J14" s="16" t="s">
        <v>65</v>
      </c>
      <c r="K14" s="17" t="s">
        <v>51</v>
      </c>
      <c r="L14" s="16" t="s">
        <v>64</v>
      </c>
      <c r="M14" s="16"/>
    </row>
    <row r="15" spans="1:13" ht="28.5">
      <c r="A15" s="17"/>
      <c r="B15" s="17"/>
      <c r="C15" s="17"/>
      <c r="D15" s="19" t="s">
        <v>63</v>
      </c>
      <c r="E15" s="19" t="s">
        <v>62</v>
      </c>
      <c r="F15" s="19" t="s">
        <v>47</v>
      </c>
      <c r="G15" s="18" t="s">
        <v>61</v>
      </c>
      <c r="H15" s="18"/>
      <c r="I15" s="18" t="s">
        <v>60</v>
      </c>
      <c r="J15" s="20" t="s">
        <v>39</v>
      </c>
      <c r="K15" s="17" t="s">
        <v>51</v>
      </c>
      <c r="L15" s="16"/>
      <c r="M15" s="16"/>
    </row>
    <row r="16" spans="1:13" ht="42.75">
      <c r="A16" s="17"/>
      <c r="B16" s="17"/>
      <c r="C16" s="17"/>
      <c r="D16" s="19" t="s">
        <v>59</v>
      </c>
      <c r="E16" s="19" t="s">
        <v>58</v>
      </c>
      <c r="F16" s="19" t="s">
        <v>47</v>
      </c>
      <c r="G16" s="18" t="s">
        <v>57</v>
      </c>
      <c r="H16" s="18"/>
      <c r="I16" s="18" t="s">
        <v>56</v>
      </c>
      <c r="J16" s="20" t="s">
        <v>39</v>
      </c>
      <c r="K16" s="17" t="s">
        <v>51</v>
      </c>
      <c r="L16" s="16"/>
      <c r="M16" s="16"/>
    </row>
    <row r="17" spans="1:13" ht="28.5">
      <c r="A17" s="17"/>
      <c r="B17" s="17"/>
      <c r="C17" s="17"/>
      <c r="D17" s="19" t="s">
        <v>55</v>
      </c>
      <c r="E17" s="19" t="s">
        <v>54</v>
      </c>
      <c r="F17" s="19" t="s">
        <v>53</v>
      </c>
      <c r="G17" s="18"/>
      <c r="H17" s="18"/>
      <c r="I17" s="18"/>
      <c r="J17" s="16" t="s">
        <v>52</v>
      </c>
      <c r="K17" s="17" t="s">
        <v>51</v>
      </c>
      <c r="L17" s="16"/>
      <c r="M17" s="16"/>
    </row>
    <row r="18" spans="1:13">
      <c r="A18" s="17"/>
      <c r="B18" s="17"/>
      <c r="C18" s="17"/>
      <c r="D18" s="19" t="s">
        <v>98</v>
      </c>
      <c r="E18" s="19" t="s">
        <v>99</v>
      </c>
      <c r="F18" s="19" t="s">
        <v>48</v>
      </c>
      <c r="G18" s="18"/>
      <c r="H18" s="18"/>
      <c r="I18" s="18"/>
      <c r="J18" s="16" t="s">
        <v>52</v>
      </c>
      <c r="K18" s="17"/>
      <c r="L18" s="16"/>
      <c r="M18" s="16"/>
    </row>
    <row r="19" spans="1:13">
      <c r="A19" s="17"/>
      <c r="B19" s="17"/>
      <c r="C19" s="17"/>
      <c r="D19" s="19"/>
      <c r="E19" s="19"/>
      <c r="F19" s="19"/>
      <c r="G19" s="18"/>
      <c r="H19" s="18"/>
      <c r="I19" s="18"/>
      <c r="J19" s="16"/>
      <c r="K19" s="17"/>
      <c r="L19" s="16"/>
      <c r="M19" s="16"/>
    </row>
    <row r="20" spans="1:13">
      <c r="A20" s="17"/>
      <c r="B20" s="17"/>
      <c r="C20" s="17"/>
      <c r="D20" s="19"/>
      <c r="E20" s="19"/>
      <c r="F20" s="19"/>
      <c r="G20" s="18"/>
      <c r="H20" s="18"/>
      <c r="I20" s="18"/>
      <c r="J20" s="16"/>
      <c r="K20" s="17"/>
      <c r="L20" s="16"/>
      <c r="M20" s="16"/>
    </row>
    <row r="21" spans="1:13">
      <c r="A21" s="17"/>
      <c r="B21" s="17"/>
      <c r="C21" s="17"/>
      <c r="D21" s="19"/>
      <c r="E21" s="19"/>
      <c r="F21" s="19"/>
      <c r="G21" s="18"/>
      <c r="H21" s="18"/>
      <c r="I21" s="18"/>
      <c r="J21" s="16"/>
      <c r="K21" s="17"/>
      <c r="L21" s="16"/>
      <c r="M21" s="16"/>
    </row>
  </sheetData>
  <autoFilter ref="A1:M1" xr:uid="{B99ACB87-190F-4EE2-883A-E78272F99242}">
    <sortState xmlns:xlrd2="http://schemas.microsoft.com/office/spreadsheetml/2017/richdata2" ref="A2:M18">
      <sortCondition ref="A1"/>
    </sortState>
  </autoFilter>
  <hyperlinks>
    <hyperlink ref="J4" r:id="rId1" xr:uid="{8BE3F29C-4521-45E2-BC0F-670FA1949503}"/>
    <hyperlink ref="J13" r:id="rId2" xr:uid="{FBA0944A-8289-4794-A21D-3D4275D8B67F}"/>
    <hyperlink ref="J5" r:id="rId3" xr:uid="{6D1FF0A6-B05B-4EEF-B267-C4D309D5F848}"/>
    <hyperlink ref="J3" r:id="rId4" xr:uid="{C1A5EB45-BBA7-4FA6-ACA4-AA3E9E3DA7E0}"/>
    <hyperlink ref="J15" r:id="rId5" xr:uid="{FD2F415C-21FE-4F95-B7DE-9BEA9B16D68F}"/>
    <hyperlink ref="J16" r:id="rId6" xr:uid="{B3623A24-1BD0-41F0-AE99-B1CFBE6E2C7A}"/>
    <hyperlink ref="J2" r:id="rId7" xr:uid="{9CAEF7CE-C6E6-44A9-B0A9-3AF6C8FF5F71}"/>
    <hyperlink ref="G2" r:id="rId8" xr:uid="{D9B6628A-A9D9-4E1C-A928-909AAD8AC586}"/>
    <hyperlink ref="J6" r:id="rId9" xr:uid="{63C83AA5-17DB-4A79-AD13-69B901772845}"/>
    <hyperlink ref="J7" r:id="rId10" xr:uid="{BDB13E88-8C37-44DD-8C58-ED1D34ECAB64}"/>
    <hyperlink ref="J8" r:id="rId11" xr:uid="{DBAC7EA2-807F-4C25-89D6-A221FE9821AB}"/>
    <hyperlink ref="J9" r:id="rId12" xr:uid="{0EE8BF21-7527-4D1B-8359-5B554D224FF2}"/>
    <hyperlink ref="J10" r:id="rId13" xr:uid="{678C0FDC-3316-4C11-B43E-275C76745C12}"/>
    <hyperlink ref="J11" r:id="rId14" xr:uid="{37F425B4-194A-479B-AE36-0644AD4629E7}"/>
  </hyperlinks>
  <pageMargins left="0.7" right="0.7" top="0.78740157499999996" bottom="0.78740157499999996" header="0.3" footer="0.3"/>
  <pageSetup paperSize="9" orientation="portrait" r:id="rId1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015B-AF25-41DE-9149-B8E19A2188F1}">
  <dimension ref="A1:B3"/>
  <sheetViews>
    <sheetView workbookViewId="0">
      <selection activeCell="B2" sqref="B2"/>
    </sheetView>
  </sheetViews>
  <sheetFormatPr baseColWidth="10" defaultColWidth="11.375" defaultRowHeight="14.25"/>
  <cols>
    <col min="1" max="1" width="33.625" style="3" customWidth="1"/>
    <col min="2" max="2" width="70.125" style="3" customWidth="1"/>
    <col min="3" max="16384" width="11.375" style="3"/>
  </cols>
  <sheetData>
    <row r="1" spans="1:2" ht="177" customHeight="1">
      <c r="A1" s="3" t="s">
        <v>109</v>
      </c>
      <c r="B1" s="3" t="s">
        <v>130</v>
      </c>
    </row>
    <row r="2" spans="1:2" ht="57">
      <c r="A2" s="3" t="s">
        <v>111</v>
      </c>
      <c r="B2" s="3" t="s">
        <v>110</v>
      </c>
    </row>
    <row r="3" spans="1:2" ht="71.25">
      <c r="A3" s="3" t="s">
        <v>111</v>
      </c>
      <c r="B3" s="3" t="s">
        <v>112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Übersicht</vt:lpstr>
      <vt:lpstr>aktuelle KR NR</vt:lpstr>
      <vt:lpstr>aktuelle KR TMT</vt:lpstr>
      <vt:lpstr>KRQ4-25</vt:lpstr>
      <vt:lpstr>Kontakte</vt:lpstr>
      <vt:lpstr>Texte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Mueller-Zielke</dc:creator>
  <cp:lastModifiedBy>XIDA</cp:lastModifiedBy>
  <dcterms:created xsi:type="dcterms:W3CDTF">2025-11-10T14:15:40Z</dcterms:created>
  <dcterms:modified xsi:type="dcterms:W3CDTF">2026-02-09T16:46:22Z</dcterms:modified>
</cp:coreProperties>
</file>